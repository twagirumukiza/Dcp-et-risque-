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emploi" sheetId="1" state="visible" r:id="rId3"/>
    <sheet name="Qualif et classement" sheetId="2" state="visible" r:id="rId4"/>
    <sheet name="Classif" sheetId="3" state="visible" r:id="rId5"/>
    <sheet name="A Cartographie" sheetId="4" state="visible" r:id="rId6"/>
    <sheet name="B Risques" sheetId="5" state="visible" r:id="rId7"/>
    <sheet name="C Plan" sheetId="6" state="visible" r:id="rId8"/>
    <sheet name="Matrice 5x5" sheetId="7" state="visible" r:id="rId9"/>
    <sheet name="Lis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<sst xmlns="http://schemas.openxmlformats.org/spreadsheetml/2006/main" count="319" uniqueCount="269">
  <si>
    <t xml:space="preserve">Fiches de travail – Protéger les données personnelles (BTS SIO SISR, séances 1 et 2)</t>
  </si>
  <si>
    <t xml:space="preserve">Classeur à remplir · importable dans Excel, Google Sheets ou LibreOffice</t>
  </si>
  <si>
    <t xml:space="preserve">COMMENT TRAVAILLER</t>
  </si>
  <si>
    <t xml:space="preserve">1. Remplissez les onglets avec les menus déroulants (cases jaunes).</t>
  </si>
  <si>
    <t xml:space="preserve">2. Enregistrez le fichier sous votre nom (ex. : Durand_FitZone.xlsx) et déposez-le.</t>
  </si>
  <si>
    <t xml:space="preserve">LÉGENDE</t>
  </si>
  <si>
    <t xml:space="preserve">Cases jaunes : à remplir (menus déroulants ▼).  Cases bleues : calculées automatiquement.  Ligne grise en italique : exemple, à ne pas modifier.</t>
  </si>
  <si>
    <t xml:space="preserve">Dans les menus « exemples », vous pouvez aussi saisir votre propre réponse. Pour Catégorie, P, G, Critère et Qualification, seule une valeur de la liste est acceptée.</t>
  </si>
  <si>
    <t xml:space="preserve">ONGLETS</t>
  </si>
  <si>
    <t xml:space="preserve">Qualif et classement · Classif · A Cartographie · B Risques · C Plan · Matrice 5x5 · Listes</t>
  </si>
  <si>
    <t xml:space="preserve">RÈGLES DE COTATION</t>
  </si>
  <si>
    <t xml:space="preserve">Criticité C = Probabilité P × Gravité G (échelle 1 à 5). Seuil d’acceptabilité : C ≥ 10.</t>
  </si>
  <si>
    <t xml:space="preserve">1–4 Faible · 5–9 À surveiller · 10–14 À traiter · 15–25 Prioritaire</t>
  </si>
  <si>
    <t xml:space="preserve">IMPORTER LE FICHIER</t>
  </si>
  <si>
    <t xml:space="preserve">Excel : ouvrir directement. Google Sheets : Fichier &gt; Importer &gt; Importer. LibreOffice : ouvrir directement.</t>
  </si>
  <si>
    <t xml:space="preserve">Fil rouge : étude de cas FitZone (réseau de 3 salles de sport, 45 salariés, environ 6 000 abonnés).</t>
  </si>
  <si>
    <t xml:space="preserve">Exercices rapides : qualification et classement</t>
  </si>
  <si>
    <t xml:space="preserve">Menus déroulants stricts</t>
  </si>
  <si>
    <t xml:space="preserve">1. Qualification d’une donnée (5 min)</t>
  </si>
  <si>
    <t xml:space="preserve">Réf.</t>
  </si>
  <si>
    <t xml:space="preserve">Information à qualifier</t>
  </si>
  <si>
    <t xml:space="preserve">Réponse</t>
  </si>
  <si>
    <t xml:space="preserve">Ex.</t>
  </si>
  <si>
    <t xml:space="preserve">Un numéro de téléphone mobile nominatif</t>
  </si>
  <si>
    <t xml:space="preserve">DCP</t>
  </si>
  <si>
    <t xml:space="preserve">a</t>
  </si>
  <si>
    <t xml:space="preserve">L’adresse IP d’un visiteur</t>
  </si>
  <si>
    <t xml:space="preserve">b</t>
  </si>
  <si>
    <t xml:space="preserve">Un arrêt maladie dans un dossier RH</t>
  </si>
  <si>
    <t xml:space="preserve">c</t>
  </si>
  <si>
    <t xml:space="preserve">La moyenne de ventes par magasin</t>
  </si>
  <si>
    <t xml:space="preserve">d</t>
  </si>
  <si>
    <t xml:space="preserve">L’empreinte digitale utilisée pour badger</t>
  </si>
  <si>
    <t xml:space="preserve">e</t>
  </si>
  <si>
    <t xml:space="preserve">L’identifiant haché d’un client</t>
  </si>
  <si>
    <t xml:space="preserve">2. Classement d’incidents (5 min)</t>
  </si>
  <si>
    <t xml:space="preserve">Incident</t>
  </si>
  <si>
    <t xml:space="preserve">Menace ANSSI</t>
  </si>
  <si>
    <t xml:space="preserve">Critère touché</t>
  </si>
  <si>
    <t xml:space="preserve">Un site de partenaire visité par vos salariés est piégé</t>
  </si>
  <si>
    <t xml:space="preserve">Espionnage</t>
  </si>
  <si>
    <t xml:space="preserve">Confidentialité</t>
  </si>
  <si>
    <t xml:space="preserve">Le site de la mairie est remplacé par un message politique</t>
  </si>
  <si>
    <t xml:space="preserve">Un faux e-mail « de la DRH » contient un avenant piégé</t>
  </si>
  <si>
    <t xml:space="preserve">La base RH est chiffrée contre rançon</t>
  </si>
  <si>
    <t xml:space="preserve">Un site de sous-traitant, consulté par vos salariés, a été piégé</t>
  </si>
  <si>
    <t xml:space="preserve">Classification de l’information</t>
  </si>
  <si>
    <t xml:space="preserve">Choisissez la catégorie puis jusqu’à 3 services autorisés (menus déroulants). Divulgable ≈ 80 %, Sensible ≈ 15 %, Stratégique ≈ 5 %.</t>
  </si>
  <si>
    <t xml:space="preserve">Lignes complètes :</t>
  </si>
  <si>
    <t xml:space="preserve">Information</t>
  </si>
  <si>
    <t xml:space="preserve">Catégorie</t>
  </si>
  <si>
    <t xml:space="preserve">Accès 1</t>
  </si>
  <si>
    <t xml:space="preserve">Accès 2</t>
  </si>
  <si>
    <t xml:space="preserve">Accès 3</t>
  </si>
  <si>
    <t xml:space="preserve">Ex. : Plan de continuité d’activité</t>
  </si>
  <si>
    <t xml:space="preserve">Sensible</t>
  </si>
  <si>
    <t xml:space="preserve">Direction</t>
  </si>
  <si>
    <t xml:space="preserve">DSI / Prestataire informatique</t>
  </si>
  <si>
    <t xml:space="preserve">Contacts et dossiers du personnel</t>
  </si>
  <si>
    <t xml:space="preserve">Factures clients</t>
  </si>
  <si>
    <t xml:space="preserve">Factures fournisseurs</t>
  </si>
  <si>
    <t xml:space="preserve">Listes fournisseurs</t>
  </si>
  <si>
    <t xml:space="preserve">Données comptables</t>
  </si>
  <si>
    <t xml:space="preserve">Relevés de compte</t>
  </si>
  <si>
    <t xml:space="preserve">Propositions commerciales</t>
  </si>
  <si>
    <t xml:space="preserve">Contrats commerciaux</t>
  </si>
  <si>
    <t xml:space="preserve">Contrats de travail</t>
  </si>
  <si>
    <t xml:space="preserve">Données de production</t>
  </si>
  <si>
    <t xml:space="preserve">Grille tarifaire des produits</t>
  </si>
  <si>
    <t xml:space="preserve">Procédés de fabrication</t>
  </si>
  <si>
    <t xml:space="preserve">Veille concurrentielle</t>
  </si>
  <si>
    <t xml:space="preserve">A – Fiche de cartographie des traitements</t>
  </si>
  <si>
    <t xml:space="preserve">Complétez la fiche pour FitZone (menus déroulants avec exemples).</t>
  </si>
  <si>
    <t xml:space="preserve">Traitement / finalité</t>
  </si>
  <si>
    <t xml:space="preserve">Données</t>
  </si>
  <si>
    <t xml:space="preserve">Sensibles ?</t>
  </si>
  <si>
    <t xml:space="preserve">Personnes concernées</t>
  </si>
  <si>
    <t xml:space="preserve">Support</t>
  </si>
  <si>
    <t xml:space="preserve">Accès</t>
  </si>
  <si>
    <t xml:space="preserve">Durée de conservation</t>
  </si>
  <si>
    <t xml:space="preserve">Sous-traitant</t>
  </si>
  <si>
    <t xml:space="preserve">Problèmes relevés</t>
  </si>
  <si>
    <t xml:space="preserve">Gestion de la paie</t>
  </si>
  <si>
    <t xml:space="preserve">Identité</t>
  </si>
  <si>
    <t xml:space="preserve">NIR (régime renforcé)</t>
  </si>
  <si>
    <t xml:space="preserve">Salariés</t>
  </si>
  <si>
    <t xml:space="preserve">Serveur interne</t>
  </si>
  <si>
    <t xml:space="preserve">Ressources humaines</t>
  </si>
  <si>
    <t xml:space="preserve">5 ans</t>
  </si>
  <si>
    <t xml:space="preserve">Prestataire de paie</t>
  </si>
  <si>
    <t xml:space="preserve">Accès limité aux RH (exemple)</t>
  </si>
  <si>
    <t xml:space="preserve">Inventaire en 3 niveaux</t>
  </si>
  <si>
    <t xml:space="preserve">Niveau</t>
  </si>
  <si>
    <t xml:space="preserve">Éléments recensés</t>
  </si>
  <si>
    <t xml:space="preserve">Exemple</t>
  </si>
  <si>
    <t xml:space="preserve">Actifs primordiaux</t>
  </si>
  <si>
    <t xml:space="preserve">Gestion des abonnements, paie, données de santé</t>
  </si>
  <si>
    <t xml:space="preserve">Éléments supports</t>
  </si>
  <si>
    <t xml:space="preserve">Logiciel de gestion v4.2, Windows Server, Android</t>
  </si>
  <si>
    <t xml:space="preserve">Équipements</t>
  </si>
  <si>
    <t xml:space="preserve">Serveur, disque USB, smartphones, caméras</t>
  </si>
  <si>
    <t xml:space="preserve">Rappel : classez aussi 5 informations de FitZone dans l’onglet « Classif ».</t>
  </si>
  <si>
    <t xml:space="preserve">B – Tableau d’analyse de risques</t>
  </si>
  <si>
    <t xml:space="preserve">Cotez P et G de 1 à 5 : la criticité et le niveau se calculent seuls.</t>
  </si>
  <si>
    <t xml:space="preserve">Événement redouté</t>
  </si>
  <si>
    <t xml:space="preserve">Critère</t>
  </si>
  <si>
    <t xml:space="preserve">Menace</t>
  </si>
  <si>
    <t xml:space="preserve">Vulnérabilité</t>
  </si>
  <si>
    <t xml:space="preserve">P</t>
  </si>
  <si>
    <t xml:space="preserve">G</t>
  </si>
  <si>
    <t xml:space="preserve">C = P×G</t>
  </si>
  <si>
    <t xml:space="preserve">Perte d’un ordinateur portable non chiffré</t>
  </si>
  <si>
    <t xml:space="preserve">Erreur interne</t>
  </si>
  <si>
    <t xml:space="preserve">Aucun chiffrement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</si>
  <si>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</si>
  <si>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</si>
  <si>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</si>
  <si>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</si>
  <si>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</si>
  <si>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</si>
  <si>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</si>
  <si>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</si>
  <si>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Au moins un événement par critère (confidentialité, disponibilité, intégrité) et un lié à la preuve. Seuil d’acceptabilité : C ≥ 10.</t>
  </si>
  <si>
    <t xml:space="preserve">C – Plan de prévention</t>
  </si>
  <si>
    <t xml:space="preserve">Choisissez la réf. du risque : sa criticité s’affiche.</t>
  </si>
  <si>
    <t xml:space="preserve">Risque (réf.)</t>
  </si>
  <si>
    <t xml:space="preserve">C</t>
  </si>
  <si>
    <t xml:space="preserve">Mesure(s)</t>
  </si>
  <si>
    <t xml:space="preserve">Couche de défense</t>
  </si>
  <si>
    <t xml:space="preserve">Responsable</t>
  </si>
  <si>
    <t xml:space="preserve">Prévention</t>
  </si>
  <si>
    <t xml:space="preserve">Réparation</t>
  </si>
  <si>
    <t xml:space="preserve">État</t>
  </si>
  <si>
    <t xml:space="preserve">Sauvegarde 3-2-1 avec copie hors ligne</t>
  </si>
  <si>
    <t xml:space="preserve">Donnée</t>
  </si>
  <si>
    <t xml:space="preserve">DSI / Prestataire SISR</t>
  </si>
  <si>
    <t xml:space="preserve">✘ À faire</t>
  </si>
  <si>
    <t xml:space="preserve">Orange</t>
  </si>
  <si>
    <t xml:space="preserve">La criticité C vient automatiquement du tableau B. Traitez d’abord les 5 risques de criticité la plus élevée.</t>
  </si>
  <si>
    <t xml:space="preserve">Matrice de criticité 5 × 5</t>
  </si>
  <si>
    <t xml:space="preserve">Criticité = P × G · seuil d’acceptabilité ≥ 10 · placez vos risques R1…R8</t>
  </si>
  <si>
    <t xml:space="preserve">G \ P</t>
  </si>
  <si>
    <t xml:space="preserve">Listes des menus déroulants</t>
  </si>
  <si>
    <t xml:space="preserve">Vous pouvez compléter ces listes : les menus les relisent.</t>
  </si>
  <si>
    <t xml:space="preserve">Catégories</t>
  </si>
  <si>
    <t xml:space="preserve">Services</t>
  </si>
  <si>
    <t xml:space="preserve">Sensibles</t>
  </si>
  <si>
    <t xml:space="preserve">Personnes</t>
  </si>
  <si>
    <t xml:space="preserve">Supports</t>
  </si>
  <si>
    <t xml:space="preserve">Durées</t>
  </si>
  <si>
    <t xml:space="preserve">Sous-traitants</t>
  </si>
  <si>
    <t xml:space="preserve">Traitements</t>
  </si>
  <si>
    <t xml:space="preserve">Critères</t>
  </si>
  <si>
    <t xml:space="preserve">Menaces ANSSI</t>
  </si>
  <si>
    <t xml:space="preserve">Menaces</t>
  </si>
  <si>
    <t xml:space="preserve">Notes 1-5</t>
  </si>
  <si>
    <t xml:space="preserve">Événements</t>
  </si>
  <si>
    <t xml:space="preserve">Vulnérabilités</t>
  </si>
  <si>
    <t xml:space="preserve">Couches</t>
  </si>
  <si>
    <t xml:space="preserve">Responsables</t>
  </si>
  <si>
    <t xml:space="preserve">Mesures</t>
  </si>
  <si>
    <t xml:space="preserve">Actions</t>
  </si>
  <si>
    <t xml:space="preserve">États</t>
  </si>
  <si>
    <t xml:space="preserve">Qualification</t>
  </si>
  <si>
    <t xml:space="preserve">Réfs</t>
  </si>
  <si>
    <t xml:space="preserve">Divulgable</t>
  </si>
  <si>
    <t xml:space="preserve">Non</t>
  </si>
  <si>
    <t xml:space="preserve">Clients / abonnés</t>
  </si>
  <si>
    <t xml:space="preserve">1 mois</t>
  </si>
  <si>
    <t xml:space="preserve">Aucun</t>
  </si>
  <si>
    <t xml:space="preserve">Gestion des abonnements</t>
  </si>
  <si>
    <t xml:space="preserve">Déstabilisation</t>
  </si>
  <si>
    <t xml:space="preserve">Cybercriminalité</t>
  </si>
  <si>
    <t xml:space="preserve">Fuite des certificats médicaux</t>
  </si>
  <si>
    <t xml:space="preserve">Dossier partagé ouvert à tous</t>
  </si>
  <si>
    <t xml:space="preserve">Politique et procédures</t>
  </si>
  <si>
    <t xml:space="preserve">Droits d’accès par groupe</t>
  </si>
  <si>
    <t xml:space="preserve">✔ Fait</t>
  </si>
  <si>
    <t xml:space="preserve">Rouge</t>
  </si>
  <si>
    <t xml:space="preserve">Non (financières : vigilance)</t>
  </si>
  <si>
    <t xml:space="preserve">Cloud / SaaS</t>
  </si>
  <si>
    <t xml:space="preserve">3 mois</t>
  </si>
  <si>
    <t xml:space="preserve">Hébergeur</t>
  </si>
  <si>
    <t xml:space="preserve">Coordonnées</t>
  </si>
  <si>
    <t xml:space="preserve">Disponibilité</t>
  </si>
  <si>
    <t xml:space="preserve">Ransomware chiffrant le serveur et la sauvegarde</t>
  </si>
  <si>
    <t xml:space="preserve">Sauvegarde connectée en permanence</t>
  </si>
  <si>
    <t xml:space="preserve">Sécurité physique</t>
  </si>
  <si>
    <t xml:space="preserve">Chiffrement des données</t>
  </si>
  <si>
    <t xml:space="preserve">Donnée sensible</t>
  </si>
  <si>
    <t xml:space="preserve">Stratégique</t>
  </si>
  <si>
    <t xml:space="preserve">Comptabilité / Finance</t>
  </si>
  <si>
    <t xml:space="preserve">Candidats</t>
  </si>
  <si>
    <t xml:space="preserve">Poste de travail</t>
  </si>
  <si>
    <t xml:space="preserve">1 an</t>
  </si>
  <si>
    <t xml:space="preserve">Éditeur SaaS</t>
  </si>
  <si>
    <t xml:space="preserve">Suivi d’aptitude médicale</t>
  </si>
  <si>
    <t xml:space="preserve">IBAN / RIB</t>
  </si>
  <si>
    <t xml:space="preserve">Intégrité</t>
  </si>
  <si>
    <t xml:space="preserve">Sabotage</t>
  </si>
  <si>
    <t xml:space="preserve">Diffusion d’images des vestiaires</t>
  </si>
  <si>
    <t xml:space="preserve">Mot de passe faible ou partagé</t>
  </si>
  <si>
    <t xml:space="preserve">DMZ / périmètre</t>
  </si>
  <si>
    <t xml:space="preserve">DPO / référent RGPD</t>
  </si>
  <si>
    <t xml:space="preserve">– Sans objet</t>
  </si>
  <si>
    <t xml:space="preserve">Vert</t>
  </si>
  <si>
    <t xml:space="preserve">Non DCP</t>
  </si>
  <si>
    <t xml:space="preserve">Commercial</t>
  </si>
  <si>
    <t xml:space="preserve">Oui – santé</t>
  </si>
  <si>
    <t xml:space="preserve">Mineurs</t>
  </si>
  <si>
    <t xml:space="preserve">Smartphone personnel</t>
  </si>
  <si>
    <t xml:space="preserve">3 ans</t>
  </si>
  <si>
    <t xml:space="preserve">Prestataire informatique</t>
  </si>
  <si>
    <t xml:space="preserve">Contrôle d’accès biométrique</t>
  </si>
  <si>
    <t xml:space="preserve">NIR</t>
  </si>
  <si>
    <t xml:space="preserve">Preuve</t>
  </si>
  <si>
    <t xml:space="preserve">Modification d’IBAN sans auteur identifiable</t>
  </si>
  <si>
    <t xml:space="preserve">Compte administrateur partagé</t>
  </si>
  <si>
    <t xml:space="preserve">Réseau interne</t>
  </si>
  <si>
    <t xml:space="preserve">RH</t>
  </si>
  <si>
    <t xml:space="preserve">Test de restauration</t>
  </si>
  <si>
    <t xml:space="preserve">Production / Technique</t>
  </si>
  <si>
    <t xml:space="preserve">Oui – biométrie</t>
  </si>
  <si>
    <t xml:space="preserve">Prestataires</t>
  </si>
  <si>
    <t xml:space="preserve">Papier</t>
  </si>
  <si>
    <t xml:space="preserve">Newsletter</t>
  </si>
  <si>
    <t xml:space="preserve">Photo</t>
  </si>
  <si>
    <t xml:space="preserve">Disponibilité + Confidentialité</t>
  </si>
  <si>
    <t xml:space="preserve">Sûreté (accident)</t>
  </si>
  <si>
    <t xml:space="preserve">Fuite de la base d’empreintes digitales</t>
  </si>
  <si>
    <t xml:space="preserve">Aucune journalisation</t>
  </si>
  <si>
    <t xml:space="preserve">Machine</t>
  </si>
  <si>
    <t xml:space="preserve">Comptabilité</t>
  </si>
  <si>
    <t xml:space="preserve">Authentification multifacteur (MFA)</t>
  </si>
  <si>
    <t xml:space="preserve">Oui – autre (art. 9)</t>
  </si>
  <si>
    <t xml:space="preserve">Visiteurs</t>
  </si>
  <si>
    <t xml:space="preserve">Clé USB / disque externe</t>
  </si>
  <si>
    <t xml:space="preserve">10 ans</t>
  </si>
  <si>
    <t xml:space="preserve">Autre</t>
  </si>
  <si>
    <t xml:space="preserve">Vidéosurveillance</t>
  </si>
  <si>
    <t xml:space="preserve">Certificat médical</t>
  </si>
  <si>
    <t xml:space="preserve">Intégrité + Preuve</t>
  </si>
  <si>
    <t xml:space="preserve">Panne disque sans sauvegarde valide</t>
  </si>
  <si>
    <t xml:space="preserve">Application</t>
  </si>
  <si>
    <t xml:space="preserve">Tous les salariés</t>
  </si>
  <si>
    <t xml:space="preserve">Comptes nominatifs + journalisation</t>
  </si>
  <si>
    <t xml:space="preserve">Juridique / DPO</t>
  </si>
  <si>
    <t xml:space="preserve">Messagerie / WhatsApp</t>
  </si>
  <si>
    <t xml:space="preserve">Durée non définie</t>
  </si>
  <si>
    <t xml:space="preserve">Recrutement / CV</t>
  </si>
  <si>
    <t xml:space="preserve">Empreinte digitale</t>
  </si>
  <si>
    <t xml:space="preserve">Malveillance interne</t>
  </si>
  <si>
    <t xml:space="preserve">Wi-Fi partagé avec l’administration</t>
  </si>
  <si>
    <t xml:space="preserve">Séparation du Wi-Fi (VLAN)</t>
  </si>
  <si>
    <t xml:space="preserve">Prospection / CRM</t>
  </si>
  <si>
    <t xml:space="preserve">Images vidéo</t>
  </si>
  <si>
    <t xml:space="preserve">Fraude interne</t>
  </si>
  <si>
    <t xml:space="preserve">E-mail envoyé au mauvais destinataire</t>
  </si>
  <si>
    <t xml:space="preserve">Aucun test de restauration</t>
  </si>
  <si>
    <t xml:space="preserve">Durée de conservation + purge</t>
  </si>
  <si>
    <t xml:space="preserve">Partenaires externes</t>
  </si>
  <si>
    <t xml:space="preserve">Gestion des comptes utilisateurs</t>
  </si>
  <si>
    <t xml:space="preserve">Données de connexion</t>
  </si>
  <si>
    <t xml:space="preserve">Durée de conservation non définie</t>
  </si>
  <si>
    <t xml:space="preserve">Alternative badge + AIPD</t>
  </si>
  <si>
    <t xml:space="preserve">Public</t>
  </si>
  <si>
    <t xml:space="preserve">Correctifs non appliqués</t>
  </si>
  <si>
    <t xml:space="preserve">Charte d’usage + sensibilisation</t>
  </si>
  <si>
    <t xml:space="preserve">Contrat sous-traitant (art. 28)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</si>
</sst>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65D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B365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EDEDED"/>
        <bgColor rgb="FFE6EDF7"/>
      </patternFill>
    </fill>
    <fill>
      <patternFill patternType="solid">
        <fgColor rgb="FFFFF8DC"/>
        <bgColor rgb="FFFFFFFF"/>
      </patternFill>
    </fill>
    <fill>
      <patternFill patternType="solid">
        <fgColor rgb="FFE6EDF7"/>
        <bgColor rgb="FFEDEDED"/>
      </patternFill>
    </fill>
    <fill>
      <patternFill patternType="solid">
        <fgColor rgb="FFFFF2A8"/>
        <bgColor rgb="FFFFF8DC"/>
      </patternFill>
    </fill>
    <fill>
      <patternFill patternType="solid">
        <fgColor rgb="FFF8D3A8"/>
        <bgColor rgb="FFF4B6B6"/>
      </patternFill>
    </fill>
    <fill>
      <patternFill patternType="solid">
        <fgColor rgb="FFF4B6B6"/>
        <bgColor rgb="FFF8D3A8"/>
      </patternFill>
    </fill>
    <fill>
      <patternFill patternType="solid">
        <fgColor rgb="FFBFE3C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5"/>
      </left>
      <right style="thin">
        <color rgb="FF9AA5B5"/>
      </right>
      <top style="thin">
        <color rgb="FF9AA5B5"/>
      </top>
      <bottom style="thin">
        <color rgb="FF9AA5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B6B6"/>
        </patternFill>
      </fill>
    </dxf>
    <dxf>
      <fill>
        <patternFill>
          <bgColor rgb="FFF8D3A8"/>
        </patternFill>
      </fill>
    </dxf>
    <dxf>
      <fill>
        <patternFill>
          <bgColor rgb="FFFFF2A8"/>
        </patternFill>
      </fill>
    </dxf>
    <dxf>
      <fill>
        <patternFill>
          <bgColor rgb="FFBFE3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BFE3C0"/>
      <rgbColor rgb="FFFFF2A8"/>
      <rgbColor rgb="FF99CCFF"/>
      <rgbColor rgb="FFF4B6B6"/>
      <rgbColor rgb="FFCC99FF"/>
      <rgbColor rgb="FFF8D3A8"/>
      <rgbColor rgb="FF3366FF"/>
      <rgbColor rgb="FF33CCCC"/>
      <rgbColor rgb="FF99CC00"/>
      <rgbColor rgb="FFFFCC00"/>
      <rgbColor rgb="FFFF9900"/>
      <rgbColor rgb="FFFF6600"/>
      <rgbColor rgb="FF595959"/>
      <rgbColor rgb="FF9AA5B5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4" t="s">
        <v>6</v>
      </c>
    </row>
    <row r="10" customFormat="false" ht="23.8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4" min="3" style="0" width="30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5" t="s">
        <v>18</v>
      </c>
    </row>
    <row r="5" customFormat="false" ht="31.5" hidden="false" customHeight="true" outlineLevel="0" collapsed="false">
      <c r="A5" s="6" t="s">
        <v>19</v>
      </c>
      <c r="B5" s="6" t="s">
        <v>20</v>
      </c>
      <c r="C5" s="6" t="s">
        <v>21</v>
      </c>
    </row>
    <row r="6" customFormat="false" ht="24" hidden="false" customHeight="true" outlineLevel="0" collapsed="false">
      <c r="A6" s="7" t="s">
        <v>22</v>
      </c>
      <c r="B6" s="7" t="s">
        <v>23</v>
      </c>
      <c r="C6" s="7" t="s">
        <v>24</v>
      </c>
    </row>
    <row r="7" customFormat="false" ht="24" hidden="false" customHeight="true" outlineLevel="0" collapsed="false">
      <c r="A7" s="8" t="s">
        <v>25</v>
      </c>
      <c r="B7" s="8" t="s">
        <v>26</v>
      </c>
      <c r="C7" s="8"/>
    </row>
    <row r="8" customFormat="false" ht="24" hidden="false" customHeight="true" outlineLevel="0" collapsed="false">
      <c r="A8" s="8" t="s">
        <v>27</v>
      </c>
      <c r="B8" s="8" t="s">
        <v>28</v>
      </c>
      <c r="C8" s="8"/>
    </row>
    <row r="9" customFormat="false" ht="24" hidden="false" customHeight="true" outlineLevel="0" collapsed="false">
      <c r="A9" s="8" t="s">
        <v>29</v>
      </c>
      <c r="B9" s="8" t="s">
        <v>30</v>
      </c>
      <c r="C9" s="8"/>
    </row>
    <row r="10" customFormat="false" ht="24" hidden="false" customHeight="true" outlineLevel="0" collapsed="false">
      <c r="A10" s="8" t="s">
        <v>31</v>
      </c>
      <c r="B10" s="8" t="s">
        <v>32</v>
      </c>
      <c r="C10" s="8"/>
    </row>
    <row r="11" customFormat="false" ht="24" hidden="false" customHeight="true" outlineLevel="0" collapsed="false">
      <c r="A11" s="8" t="s">
        <v>33</v>
      </c>
      <c r="B11" s="8" t="s">
        <v>34</v>
      </c>
      <c r="C11" s="8"/>
    </row>
    <row r="14" customFormat="false" ht="15" hidden="false" customHeight="false" outlineLevel="0" collapsed="false">
      <c r="A14" s="5" t="s">
        <v>35</v>
      </c>
    </row>
    <row r="15" customFormat="false" ht="31.5" hidden="false" customHeight="true" outlineLevel="0" collapsed="false">
      <c r="A15" s="6" t="s">
        <v>19</v>
      </c>
      <c r="B15" s="6" t="s">
        <v>36</v>
      </c>
      <c r="C15" s="6" t="s">
        <v>37</v>
      </c>
      <c r="D15" s="6" t="s">
        <v>38</v>
      </c>
    </row>
    <row r="16" customFormat="false" ht="30" hidden="false" customHeight="true" outlineLevel="0" collapsed="false">
      <c r="A16" s="7" t="s">
        <v>22</v>
      </c>
      <c r="B16" s="7" t="s">
        <v>39</v>
      </c>
      <c r="C16" s="7" t="s">
        <v>40</v>
      </c>
      <c r="D16" s="7" t="s">
        <v>41</v>
      </c>
    </row>
    <row r="17" customFormat="false" ht="30" hidden="false" customHeight="true" outlineLevel="0" collapsed="false">
      <c r="A17" s="8" t="s">
        <v>25</v>
      </c>
      <c r="B17" s="8" t="s">
        <v>42</v>
      </c>
      <c r="C17" s="8"/>
      <c r="D17" s="8"/>
    </row>
    <row r="18" customFormat="false" ht="30" hidden="false" customHeight="true" outlineLevel="0" collapsed="false">
      <c r="A18" s="8" t="s">
        <v>27</v>
      </c>
      <c r="B18" s="8" t="s">
        <v>43</v>
      </c>
      <c r="C18" s="8"/>
      <c r="D18" s="8"/>
    </row>
    <row r="19" customFormat="false" ht="30" hidden="false" customHeight="true" outlineLevel="0" collapsed="false">
      <c r="A19" s="8" t="s">
        <v>29</v>
      </c>
      <c r="B19" s="8" t="s">
        <v>44</v>
      </c>
      <c r="C19" s="8"/>
      <c r="D19" s="8"/>
    </row>
    <row r="20" customFormat="false" ht="30" hidden="false" customHeight="true" outlineLevel="0" collapsed="false">
      <c r="A20" s="8" t="s">
        <v>31</v>
      </c>
      <c r="B20" s="8" t="s">
        <v>45</v>
      </c>
      <c r="C20" s="8"/>
      <c r="D20" s="8"/>
    </row>
  </sheetData>
  <dataValidations count="3"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C7:C11" type="list">
      <formula1>Listes!$U$5:$U$7</formula1>
      <formula2>0</formula2>
    </dataValidation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C17:C20" type="list">
      <formula1>Listes!$K$5:$K$8</formula1>
      <formula2>0</formula2>
    </dataValidation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D17:D20" type="list">
      <formula1>Listes!$J$5:$J$10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5" min="3" style="0" width="26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5" t="s">
        <v>48</v>
      </c>
      <c r="B3" s="5" t="str">
        <f aca="false">SUMPRODUCT((B6:B18&lt;&gt;"")*(C6:C18&lt;&gt;""))&amp;" / 13"</f>
        <v>0 / 13</v>
      </c>
    </row>
    <row r="4" customFormat="false" ht="31.5" hidden="false" customHeight="true" outlineLevel="0" collapsed="false">
      <c r="A4" s="6" t="s">
        <v>49</v>
      </c>
      <c r="B4" s="6" t="s">
        <v>50</v>
      </c>
      <c r="C4" s="6" t="s">
        <v>51</v>
      </c>
      <c r="D4" s="6" t="s">
        <v>52</v>
      </c>
      <c r="E4" s="6" t="s">
        <v>53</v>
      </c>
    </row>
    <row r="5" customFormat="false" ht="30" hidden="false" customHeight="true" outlineLevel="0" collapsed="false">
      <c r="A5" s="7" t="s">
        <v>54</v>
      </c>
      <c r="B5" s="7" t="s">
        <v>55</v>
      </c>
      <c r="C5" s="7" t="s">
        <v>56</v>
      </c>
      <c r="D5" s="7" t="s">
        <v>57</v>
      </c>
      <c r="E5" s="7"/>
    </row>
    <row r="6" customFormat="false" ht="24" hidden="false" customHeight="true" outlineLevel="0" collapsed="false">
      <c r="A6" s="9" t="s">
        <v>58</v>
      </c>
      <c r="B6" s="8"/>
      <c r="C6" s="8"/>
      <c r="D6" s="8"/>
      <c r="E6" s="8"/>
    </row>
    <row r="7" customFormat="false" ht="24" hidden="false" customHeight="true" outlineLevel="0" collapsed="false">
      <c r="A7" s="9" t="s">
        <v>59</v>
      </c>
      <c r="B7" s="8"/>
      <c r="C7" s="8"/>
      <c r="D7" s="8"/>
      <c r="E7" s="8"/>
    </row>
    <row r="8" customFormat="false" ht="24" hidden="false" customHeight="true" outlineLevel="0" collapsed="false">
      <c r="A8" s="9" t="s">
        <v>60</v>
      </c>
      <c r="B8" s="8"/>
      <c r="C8" s="8"/>
      <c r="D8" s="8"/>
      <c r="E8" s="8"/>
    </row>
    <row r="9" customFormat="false" ht="24" hidden="false" customHeight="true" outlineLevel="0" collapsed="false">
      <c r="A9" s="9" t="s">
        <v>61</v>
      </c>
      <c r="B9" s="8"/>
      <c r="C9" s="8"/>
      <c r="D9" s="8"/>
      <c r="E9" s="8"/>
    </row>
    <row r="10" customFormat="false" ht="24" hidden="false" customHeight="true" outlineLevel="0" collapsed="false">
      <c r="A10" s="9" t="s">
        <v>62</v>
      </c>
      <c r="B10" s="8"/>
      <c r="C10" s="8"/>
      <c r="D10" s="8"/>
      <c r="E10" s="8"/>
    </row>
    <row r="11" customFormat="false" ht="24" hidden="false" customHeight="true" outlineLevel="0" collapsed="false">
      <c r="A11" s="9" t="s">
        <v>63</v>
      </c>
      <c r="B11" s="8"/>
      <c r="C11" s="8"/>
      <c r="D11" s="8"/>
      <c r="E11" s="8"/>
    </row>
    <row r="12" customFormat="false" ht="24" hidden="false" customHeight="true" outlineLevel="0" collapsed="false">
      <c r="A12" s="9" t="s">
        <v>64</v>
      </c>
      <c r="B12" s="8"/>
      <c r="C12" s="8"/>
      <c r="D12" s="8"/>
      <c r="E12" s="8"/>
    </row>
    <row r="13" customFormat="false" ht="24" hidden="false" customHeight="true" outlineLevel="0" collapsed="false">
      <c r="A13" s="9" t="s">
        <v>65</v>
      </c>
      <c r="B13" s="8"/>
      <c r="C13" s="8"/>
      <c r="D13" s="8"/>
      <c r="E13" s="8"/>
    </row>
    <row r="14" customFormat="false" ht="24" hidden="false" customHeight="true" outlineLevel="0" collapsed="false">
      <c r="A14" s="9" t="s">
        <v>66</v>
      </c>
      <c r="B14" s="8"/>
      <c r="C14" s="8"/>
      <c r="D14" s="8"/>
      <c r="E14" s="8"/>
    </row>
    <row r="15" customFormat="false" ht="24" hidden="false" customHeight="true" outlineLevel="0" collapsed="false">
      <c r="A15" s="9" t="s">
        <v>67</v>
      </c>
      <c r="B15" s="8"/>
      <c r="C15" s="8"/>
      <c r="D15" s="8"/>
      <c r="E15" s="8"/>
    </row>
    <row r="16" customFormat="false" ht="24" hidden="false" customHeight="true" outlineLevel="0" collapsed="false">
      <c r="A16" s="9" t="s">
        <v>68</v>
      </c>
      <c r="B16" s="8"/>
      <c r="C16" s="8"/>
      <c r="D16" s="8"/>
      <c r="E16" s="8"/>
    </row>
    <row r="17" customFormat="false" ht="24" hidden="false" customHeight="true" outlineLevel="0" collapsed="false">
      <c r="A17" s="9" t="s">
        <v>69</v>
      </c>
      <c r="B17" s="8"/>
      <c r="C17" s="8"/>
      <c r="D17" s="8"/>
      <c r="E17" s="8"/>
    </row>
    <row r="18" customFormat="false" ht="24" hidden="false" customHeight="true" outlineLevel="0" collapsed="false">
      <c r="A18" s="9" t="s">
        <v>70</v>
      </c>
      <c r="B18" s="8"/>
      <c r="C18" s="8"/>
      <c r="D18" s="8"/>
      <c r="E18" s="8"/>
    </row>
  </sheetData>
  <dataValidations count="2"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B6:B18" type="list">
      <formula1>Listes!$A$5:$A$7</formula1>
      <formula2>0</formula2>
    </dataValidation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C6:E18" type="list">
      <formula1>Listes!$B$5:$B$14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31.5" hidden="false" customHeight="true" outlineLevel="0" collapsed="false">
      <c r="A4" s="6" t="s">
        <v>73</v>
      </c>
      <c r="B4" s="6" t="s">
        <v>74</v>
      </c>
      <c r="C4" s="6" t="s">
        <v>75</v>
      </c>
      <c r="D4" s="6" t="s">
        <v>76</v>
      </c>
      <c r="E4" s="6" t="s">
        <v>77</v>
      </c>
      <c r="F4" s="6" t="s">
        <v>78</v>
      </c>
      <c r="G4" s="6" t="s">
        <v>79</v>
      </c>
      <c r="H4" s="6" t="s">
        <v>80</v>
      </c>
      <c r="I4" s="6" t="s">
        <v>81</v>
      </c>
    </row>
    <row r="5" customFormat="false" ht="33.75" hidden="false" customHeight="true" outlineLevel="0" collapsed="false">
      <c r="A5" s="7" t="s">
        <v>82</v>
      </c>
      <c r="B5" s="7" t="s">
        <v>83</v>
      </c>
      <c r="C5" s="7" t="s">
        <v>84</v>
      </c>
      <c r="D5" s="7" t="s">
        <v>85</v>
      </c>
      <c r="E5" s="7" t="s">
        <v>86</v>
      </c>
      <c r="F5" s="7" t="s">
        <v>87</v>
      </c>
      <c r="G5" s="7" t="s">
        <v>88</v>
      </c>
      <c r="H5" s="7" t="s">
        <v>89</v>
      </c>
      <c r="I5" s="7" t="s">
        <v>90</v>
      </c>
    </row>
    <row r="6" customFormat="false" ht="33.75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33.7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33.75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33.7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33.7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33.7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33.7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33.7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6" customFormat="false" ht="15" hidden="false" customHeight="false" outlineLevel="0" collapsed="false">
      <c r="A16" s="5" t="s">
        <v>91</v>
      </c>
    </row>
    <row r="17" customFormat="false" ht="31.5" hidden="false" customHeight="true" outlineLevel="0" collapsed="false">
      <c r="A17" s="6" t="s">
        <v>92</v>
      </c>
      <c r="B17" s="6" t="s">
        <v>93</v>
      </c>
      <c r="C17" s="6"/>
      <c r="D17" s="6"/>
      <c r="E17" s="6"/>
      <c r="F17" s="6"/>
      <c r="G17" s="6"/>
      <c r="H17" s="6"/>
      <c r="I17" s="6" t="s">
        <v>94</v>
      </c>
    </row>
    <row r="18" customFormat="false" ht="33.75" hidden="false" customHeight="true" outlineLevel="0" collapsed="false">
      <c r="A18" s="10" t="s">
        <v>95</v>
      </c>
      <c r="B18" s="8"/>
      <c r="C18" s="8"/>
      <c r="D18" s="8"/>
      <c r="E18" s="8"/>
      <c r="F18" s="8"/>
      <c r="G18" s="8"/>
      <c r="H18" s="8"/>
      <c r="I18" s="7" t="s">
        <v>96</v>
      </c>
    </row>
    <row r="19" customFormat="false" ht="33.75" hidden="false" customHeight="true" outlineLevel="0" collapsed="false">
      <c r="A19" s="10" t="s">
        <v>97</v>
      </c>
      <c r="B19" s="8"/>
      <c r="C19" s="8"/>
      <c r="D19" s="8"/>
      <c r="E19" s="8"/>
      <c r="F19" s="8"/>
      <c r="G19" s="8"/>
      <c r="H19" s="8"/>
      <c r="I19" s="7" t="s">
        <v>98</v>
      </c>
    </row>
    <row r="20" customFormat="false" ht="33.75" hidden="false" customHeight="true" outlineLevel="0" collapsed="false">
      <c r="A20" s="10" t="s">
        <v>99</v>
      </c>
      <c r="B20" s="8"/>
      <c r="C20" s="8"/>
      <c r="D20" s="8"/>
      <c r="E20" s="8"/>
      <c r="F20" s="8"/>
      <c r="G20" s="8"/>
      <c r="H20" s="8"/>
      <c r="I20" s="7" t="s">
        <v>100</v>
      </c>
    </row>
    <row r="22" customFormat="false" ht="15" hidden="false" customHeight="false" outlineLevel="0" collapsed="false">
      <c r="A22" s="2" t="s">
        <v>101</v>
      </c>
    </row>
  </sheetData>
  <mergeCells count="4">
    <mergeCell ref="B17:H17"/>
    <mergeCell ref="B18:H18"/>
    <mergeCell ref="B19:H19"/>
    <mergeCell ref="B20:H20"/>
  </mergeCells>
  <dataValidations count="8">
    <dataValidation allowBlank="true" errorStyle="stop" operator="between" prompt="Choisissez dans la liste ou saisissez votre propre réponse" promptTitle="Menu déroulant" showDropDown="false" showErrorMessage="false" showInputMessage="true" sqref="A6:A13" type="list">
      <formula1>Listes!$H$5:$H$13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B6:B13" type="list">
      <formula1>Listes!$I$5:$I$13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C6:C13" type="list">
      <formula1>Listes!$C$5:$C$10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D6:D13" type="list">
      <formula1>Listes!$D$5:$D$10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E6:E13" type="list">
      <formula1>Listes!$E$5:$E$11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F6:F13" type="list">
      <formula1>Listes!$B$5:$B$14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G6:G13" type="list">
      <formula1>Listes!$F$5:$F$11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H6:H13" type="list">
      <formula1>Listes!$G$5:$G$10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7" min="6" style="0" width="8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31.5" hidden="false" customHeight="true" outlineLevel="0" collapsed="false">
      <c r="A4" s="6" t="s">
        <v>19</v>
      </c>
      <c r="B4" s="6" t="s">
        <v>104</v>
      </c>
      <c r="C4" s="6" t="s">
        <v>105</v>
      </c>
      <c r="D4" s="6" t="s">
        <v>106</v>
      </c>
      <c r="E4" s="6" t="s">
        <v>107</v>
      </c>
      <c r="F4" s="6" t="s">
        <v>108</v>
      </c>
      <c r="G4" s="6" t="s">
        <v>109</v>
      </c>
      <c r="H4" s="6" t="s">
        <v>110</v>
      </c>
      <c r="I4" s="6" t="s">
        <v>92</v>
      </c>
    </row>
    <row r="5" customFormat="false" ht="31.5" hidden="false" customHeight="true" outlineLevel="0" collapsed="false">
      <c r="A5" s="7" t="s">
        <v>22</v>
      </c>
      <c r="B5" s="7" t="s">
        <v>111</v>
      </c>
      <c r="C5" s="7" t="s">
        <v>41</v>
      </c>
      <c r="D5" s="7" t="s">
        <v>112</v>
      </c>
      <c r="E5" s="7" t="s">
        <v>113</v>
      </c>
      <c r="F5" s="11" t="n">
        <v>3</v>
      </c>
      <c r="G5" s="11" t="n">
        <v>3</v>
      </c>
      <c r="H5" s="12" t="n">
        <f aca="false">IF(OR(F5="",G5=""),"",F5*G5)</f>
        <v>9</v>
      </c>
      <c r="I5" s="13" t="str">
        <f aca="false">IF(H5="","",IF(H5&gt;=15,"Prioritaire",IF(H5&gt;=10,"À traiter",IF(H5&gt;=5,"À surveiller","Faible"))))</f>
        <v>À surveiller</v>
      </c>
    </row>
    <row r="6" customFormat="false" ht="31.5" hidden="false" customHeight="true" outlineLevel="0" collapsed="false">
      <c r="A6" s="9" t="s">
        <v>114</v>
      </c>
      <c r="B6" s="8"/>
      <c r="C6" s="8"/>
      <c r="D6" s="8"/>
      <c r="E6" s="8"/>
      <c r="F6" s="14"/>
      <c r="G6" s="14"/>
      <c r="H6" s="15" t="str">
        <f aca="false">IF(OR(F6="",G6=""),"",F6*G6)</f>
        <v/>
      </c>
      <c r="I6" s="10" t="str">
        <f aca="false">IF(H6="","",IF(H6&gt;=15,"Prioritaire",IF(H6&gt;=10,"À traiter",IF(H6&gt;=5,"À surveiller","Faible"))))</f>
        <v/>
      </c>
    </row>
    <row r="7" customFormat="false" ht="31.5" hidden="false" customHeight="true" outlineLevel="0" collapsed="false">
      <c r="A7" s="9" t="s">
        <v>115</v>
      </c>
      <c r="B7" s="8"/>
      <c r="C7" s="8"/>
      <c r="D7" s="8"/>
      <c r="E7" s="8"/>
      <c r="F7" s="14"/>
      <c r="G7" s="14"/>
      <c r="H7" s="15" t="str">
        <f aca="false">IF(OR(F7="",G7=""),"",F7*G7)</f>
        <v/>
      </c>
      <c r="I7" s="10" t="str">
        <f aca="false">IF(H7="","",IF(H7&gt;=15,"Prioritaire",IF(H7&gt;=10,"À traiter",IF(H7&gt;=5,"À surveiller","Faible"))))</f>
        <v/>
      </c>
    </row>
    <row r="8" customFormat="false" ht="31.5" hidden="false" customHeight="true" outlineLevel="0" collapsed="false">
      <c r="A8" s="9" t="s">
        <v>116</v>
      </c>
      <c r="B8" s="8"/>
      <c r="C8" s="8"/>
      <c r="D8" s="8"/>
      <c r="E8" s="8"/>
      <c r="F8" s="14"/>
      <c r="G8" s="14"/>
      <c r="H8" s="15" t="str">
        <f aca="false">IF(OR(F8="",G8=""),"",F8*G8)</f>
        <v/>
      </c>
      <c r="I8" s="10" t="str">
        <f aca="false">IF(H8="","",IF(H8&gt;=15,"Prioritaire",IF(H8&gt;=10,"À traiter",IF(H8&gt;=5,"À surveiller","Faible"))))</f>
        <v/>
      </c>
    </row>
    <row r="9" customFormat="false" ht="31.5" hidden="false" customHeight="true" outlineLevel="0" collapsed="false">
      <c r="A9" s="9" t="s">
        <v>117</v>
      </c>
      <c r="B9" s="8"/>
      <c r="C9" s="8"/>
      <c r="D9" s="8"/>
      <c r="E9" s="8"/>
      <c r="F9" s="14"/>
      <c r="G9" s="14"/>
      <c r="H9" s="15" t="str">
        <f aca="false">IF(OR(F9="",G9=""),"",F9*G9)</f>
        <v/>
      </c>
      <c r="I9" s="10" t="str">
        <f aca="false">IF(H9="","",IF(H9&gt;=15,"Prioritaire",IF(H9&gt;=10,"À traiter",IF(H9&gt;=5,"À surveiller","Faible"))))</f>
        <v/>
      </c>
    </row>
    <row r="10" customFormat="false" ht="31.5" hidden="false" customHeight="true" outlineLevel="0" collapsed="false">
      <c r="A10" s="9" t="s">
        <v>118</v>
      </c>
      <c r="B10" s="8"/>
      <c r="C10" s="8"/>
      <c r="D10" s="8"/>
      <c r="E10" s="8"/>
      <c r="F10" s="14"/>
      <c r="G10" s="14"/>
      <c r="H10" s="15" t="str">
        <f aca="false">IF(OR(F10="",G10=""),"",F10*G10)</f>
        <v/>
      </c>
      <c r="I10" s="10" t="str">
        <f aca="false">IF(H10="","",IF(H10&gt;=15,"Prioritaire",IF(H10&gt;=10,"À traiter",IF(H10&gt;=5,"À surveiller","Faible"))))</f>
        <v/>
      </c>
    </row>
    <row r="11" customFormat="false" ht="31.5" hidden="false" customHeight="true" outlineLevel="0" collapsed="false">
      <c r="A11" s="9" t="s">
        <v>119</v>
      </c>
      <c r="B11" s="8"/>
      <c r="C11" s="8"/>
      <c r="D11" s="8"/>
      <c r="E11" s="8"/>
      <c r="F11" s="14"/>
      <c r="G11" s="14"/>
      <c r="H11" s="15" t="str">
        <f aca="false">IF(OR(F11="",G11=""),"",F11*G11)</f>
        <v/>
      </c>
      <c r="I11" s="10" t="str">
        <f aca="false">IF(H11="","",IF(H11&gt;=15,"Prioritaire",IF(H11&gt;=10,"À traiter",IF(H11&gt;=5,"À surveiller","Faible"))))</f>
        <v/>
      </c>
    </row>
    <row r="12" customFormat="false" ht="31.5" hidden="false" customHeight="true" outlineLevel="0" collapsed="false">
      <c r="A12" s="9" t="s">
        <v>120</v>
      </c>
      <c r="B12" s="8"/>
      <c r="C12" s="8"/>
      <c r="D12" s="8"/>
      <c r="E12" s="8"/>
      <c r="F12" s="14"/>
      <c r="G12" s="14"/>
      <c r="H12" s="15" t="str">
        <f aca="false">IF(OR(F12="",G12=""),"",F12*G12)</f>
        <v/>
      </c>
      <c r="I12" s="10" t="str">
        <f aca="false">IF(H12="","",IF(H12&gt;=15,"Prioritaire",IF(H12&gt;=10,"À traiter",IF(H12&gt;=5,"À surveiller","Faible"))))</f>
        <v/>
      </c>
    </row>
    <row r="13" customFormat="false" ht="31.5" hidden="false" customHeight="true" outlineLevel="0" collapsed="false">
      <c r="A13" s="9" t="s">
        <v>121</v>
      </c>
      <c r="B13" s="8"/>
      <c r="C13" s="8"/>
      <c r="D13" s="8"/>
      <c r="E13" s="8"/>
      <c r="F13" s="14"/>
      <c r="G13" s="14"/>
      <c r="H13" s="15" t="str">
        <f aca="false">IF(OR(F13="",G13=""),"",F13*G13)</f>
        <v/>
      </c>
      <c r="I13" s="10" t="str">
        <f aca="false">IF(H13="","",IF(H13&gt;=15,"Prioritaire",IF(H13&gt;=10,"À traiter",IF(H13&gt;=5,"À surveiller","Faible"))))</f>
        <v/>
      </c>
    </row>
    <row r="15" customFormat="false" ht="15" hidden="false" customHeight="false" outlineLevel="0" collapsed="false">
      <c r="A15" s="2" t="s">
        <v>122</v>
      </c>
    </row>
  </sheetData>
  <conditionalFormatting sqref="I5:I13">
    <cfRule type="expression" priority="2" aboveAverage="0" equalAverage="0" bottom="0" percent="0" rank="0" text="" dxfId="0">
      <formula>$I5="Prioritaire"</formula>
    </cfRule>
    <cfRule type="expression" priority="3" aboveAverage="0" equalAverage="0" bottom="0" percent="0" rank="0" text="" dxfId="1">
      <formula>$I5="À traiter"</formula>
    </cfRule>
    <cfRule type="expression" priority="4" aboveAverage="0" equalAverage="0" bottom="0" percent="0" rank="0" text="" dxfId="2">
      <formula>$I5="À surveiller"</formula>
    </cfRule>
    <cfRule type="expression" priority="5" aboveAverage="0" equalAverage="0" bottom="0" percent="0" rank="0" text="" dxfId="3">
      <formula>$I5="Faible"</formula>
    </cfRule>
  </conditionalFormatting>
  <dataValidations count="5">
    <dataValidation allowBlank="true" errorStyle="stop" operator="between" prompt="Choisissez dans la liste ou saisissez votre propre réponse" promptTitle="Menu déroulant" showDropDown="false" showErrorMessage="false" showInputMessage="true" sqref="B6:B13" type="list">
      <formula1>Listes!$N$5:$N$12</formula1>
      <formula2>0</formula2>
    </dataValidation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C6:C13" type="list">
      <formula1>Listes!$J$5:$J$10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D6:D13" type="list">
      <formula1>Listes!$L$5:$L$12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E6:E13" type="list">
      <formula1>Listes!$O$5:$O$14</formula1>
      <formula2>0</formula2>
    </dataValidation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F6:G13" type="list">
      <formula1>Listes!$M$5:$M$9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5" min="4" style="0" width="24"/>
    <col collapsed="false" customWidth="true" hidden="false" outlineLevel="0" max="7" min="6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31.5" hidden="false" customHeight="true" outlineLevel="0" collapsed="false">
      <c r="A4" s="6" t="s">
        <v>125</v>
      </c>
      <c r="B4" s="6" t="s">
        <v>126</v>
      </c>
      <c r="C4" s="6" t="s">
        <v>127</v>
      </c>
      <c r="D4" s="6" t="s">
        <v>128</v>
      </c>
      <c r="E4" s="6" t="s">
        <v>129</v>
      </c>
      <c r="F4" s="6" t="s">
        <v>130</v>
      </c>
      <c r="G4" s="6" t="s">
        <v>131</v>
      </c>
      <c r="H4" s="6" t="s">
        <v>132</v>
      </c>
    </row>
    <row r="5" customFormat="false" ht="31.5" hidden="false" customHeight="true" outlineLevel="0" collapsed="false">
      <c r="A5" s="7" t="s">
        <v>22</v>
      </c>
      <c r="B5" s="11" t="n">
        <v>9</v>
      </c>
      <c r="C5" s="7" t="s">
        <v>133</v>
      </c>
      <c r="D5" s="7" t="s">
        <v>134</v>
      </c>
      <c r="E5" s="7" t="s">
        <v>135</v>
      </c>
      <c r="F5" s="7" t="s">
        <v>136</v>
      </c>
      <c r="G5" s="7" t="s">
        <v>136</v>
      </c>
      <c r="H5" s="7" t="s">
        <v>137</v>
      </c>
    </row>
    <row r="6" customFormat="false" ht="31.5" hidden="false" customHeight="true" outlineLevel="0" collapsed="false">
      <c r="A6" s="8"/>
      <c r="B6" s="15" t="str">
        <f aca="false">IF(A6="","",IFERROR(INDEX('B Risques'!$H$6:$H$13,MATCH(A6,'B Risques'!$A$6:$A$13,0)),""))</f>
        <v/>
      </c>
      <c r="C6" s="8"/>
      <c r="D6" s="8"/>
      <c r="E6" s="8"/>
      <c r="F6" s="8"/>
      <c r="G6" s="8"/>
      <c r="H6" s="8"/>
    </row>
    <row r="7" customFormat="false" ht="31.5" hidden="false" customHeight="true" outlineLevel="0" collapsed="false">
      <c r="A7" s="8"/>
      <c r="B7" s="15" t="str">
        <f aca="false">IF(A7="","",IFERROR(INDEX('B Risques'!$H$6:$H$13,MATCH(A7,'B Risques'!$A$6:$A$13,0)),""))</f>
        <v/>
      </c>
      <c r="C7" s="8"/>
      <c r="D7" s="8"/>
      <c r="E7" s="8"/>
      <c r="F7" s="8"/>
      <c r="G7" s="8"/>
      <c r="H7" s="8"/>
    </row>
    <row r="8" customFormat="false" ht="31.5" hidden="false" customHeight="true" outlineLevel="0" collapsed="false">
      <c r="A8" s="8"/>
      <c r="B8" s="15" t="str">
        <f aca="false">IF(A8="","",IFERROR(INDEX('B Risques'!$H$6:$H$13,MATCH(A8,'B Risques'!$A$6:$A$13,0)),""))</f>
        <v/>
      </c>
      <c r="C8" s="8"/>
      <c r="D8" s="8"/>
      <c r="E8" s="8"/>
      <c r="F8" s="8"/>
      <c r="G8" s="8"/>
      <c r="H8" s="8"/>
    </row>
    <row r="9" customFormat="false" ht="31.5" hidden="false" customHeight="true" outlineLevel="0" collapsed="false">
      <c r="A9" s="8"/>
      <c r="B9" s="15" t="str">
        <f aca="false">IF(A9="","",IFERROR(INDEX('B Risques'!$H$6:$H$13,MATCH(A9,'B Risques'!$A$6:$A$13,0)),""))</f>
        <v/>
      </c>
      <c r="C9" s="8"/>
      <c r="D9" s="8"/>
      <c r="E9" s="8"/>
      <c r="F9" s="8"/>
      <c r="G9" s="8"/>
      <c r="H9" s="8"/>
    </row>
    <row r="10" customFormat="false" ht="31.5" hidden="false" customHeight="true" outlineLevel="0" collapsed="false">
      <c r="A10" s="8"/>
      <c r="B10" s="15" t="str">
        <f aca="false">IF(A10="","",IFERROR(INDEX('B Risques'!$H$6:$H$13,MATCH(A10,'B Risques'!$A$6:$A$13,0)),""))</f>
        <v/>
      </c>
      <c r="C10" s="8"/>
      <c r="D10" s="8"/>
      <c r="E10" s="8"/>
      <c r="F10" s="8"/>
      <c r="G10" s="8"/>
      <c r="H10" s="8"/>
    </row>
    <row r="11" customFormat="false" ht="31.5" hidden="false" customHeight="true" outlineLevel="0" collapsed="false">
      <c r="A11" s="8"/>
      <c r="B11" s="15" t="str">
        <f aca="false">IF(A11="","",IFERROR(INDEX('B Risques'!$H$6:$H$13,MATCH(A11,'B Risques'!$A$6:$A$13,0)),""))</f>
        <v/>
      </c>
      <c r="C11" s="8"/>
      <c r="D11" s="8"/>
      <c r="E11" s="8"/>
      <c r="F11" s="8"/>
      <c r="G11" s="8"/>
      <c r="H11" s="8"/>
    </row>
    <row r="12" customFormat="false" ht="31.5" hidden="false" customHeight="true" outlineLevel="0" collapsed="false">
      <c r="A12" s="8"/>
      <c r="B12" s="15" t="str">
        <f aca="false">IF(A12="","",IFERROR(INDEX('B Risques'!$H$6:$H$13,MATCH(A12,'B Risques'!$A$6:$A$13,0)),""))</f>
        <v/>
      </c>
      <c r="C12" s="8"/>
      <c r="D12" s="8"/>
      <c r="E12" s="8"/>
      <c r="F12" s="8"/>
      <c r="G12" s="8"/>
      <c r="H12" s="8"/>
    </row>
    <row r="13" customFormat="false" ht="31.5" hidden="false" customHeight="true" outlineLevel="0" collapsed="false">
      <c r="A13" s="8"/>
      <c r="B13" s="15" t="str">
        <f aca="false">IF(A13="","",IFERROR(INDEX('B Risques'!$H$6:$H$13,MATCH(A13,'B Risques'!$A$6:$A$13,0)),""))</f>
        <v/>
      </c>
      <c r="C13" s="8"/>
      <c r="D13" s="8"/>
      <c r="E13" s="8"/>
      <c r="F13" s="8"/>
      <c r="G13" s="8"/>
      <c r="H13" s="8"/>
    </row>
    <row r="15" customFormat="false" ht="15" hidden="false" customHeight="false" outlineLevel="0" collapsed="false">
      <c r="A15" s="2" t="s">
        <v>138</v>
      </c>
    </row>
  </sheetData>
  <conditionalFormatting sqref="H5:H13">
    <cfRule type="expression" priority="2" aboveAverage="0" equalAverage="0" bottom="0" percent="0" rank="0" text="" dxfId="0">
      <formula>$H5="Rouge"</formula>
    </cfRule>
    <cfRule type="expression" priority="3" aboveAverage="0" equalAverage="0" bottom="0" percent="0" rank="0" text="" dxfId="1">
      <formula>$H5="Orange"</formula>
    </cfRule>
    <cfRule type="expression" priority="4" aboveAverage="0" equalAverage="0" bottom="0" percent="0" rank="0" text="" dxfId="3">
      <formula>$H5="Vert"</formula>
    </cfRule>
  </conditionalFormatting>
  <dataValidations count="6"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A6:A13" type="list">
      <formula1>Listes!$V$5:$V$12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C6:C13" type="list">
      <formula1>Listes!$R$5:$R$15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D6:D13" type="list">
      <formula1>Listes!$P$5:$P$11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E6:E13" type="list">
      <formula1>Listes!$Q$5:$Q$10</formula1>
      <formula2>0</formula2>
    </dataValidation>
    <dataValidation allowBlank="true" errorStyle="stop" operator="between" prompt="Choisissez dans la liste ou saisissez votre propre réponse" promptTitle="Menu déroulant" showDropDown="false" showErrorMessage="false" showInputMessage="true" sqref="F6:G13" type="list">
      <formula1>Listes!$S$5:$S$7</formula1>
      <formula2>0</formula2>
    </dataValidation>
    <dataValidation allowBlank="true" error="Choisissez une valeur de la liste." errorStyle="stop" errorTitle="Valeur non valide" operator="between" prompt="Choisissez dans la liste" promptTitle="Menu déroulant" showDropDown="false" showErrorMessage="true" showInputMessage="true" sqref="H6:H13" type="list">
      <formula1>Listes!$T$5:$T$7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0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3" customFormat="false" ht="15" hidden="false" customHeight="false" outlineLevel="0" collapsed="false">
      <c r="A3" s="6" t="s">
        <v>141</v>
      </c>
      <c r="B3" s="16" t="n">
        <v>1</v>
      </c>
      <c r="C3" s="16" t="n">
        <v>2</v>
      </c>
      <c r="D3" s="16" t="n">
        <v>3</v>
      </c>
      <c r="E3" s="16" t="n">
        <v>4</v>
      </c>
      <c r="F3" s="16" t="n">
        <v>5</v>
      </c>
    </row>
    <row r="4" customFormat="false" ht="30" hidden="false" customHeight="true" outlineLevel="0" collapsed="false">
      <c r="A4" s="16" t="n">
        <v>5</v>
      </c>
      <c r="B4" s="17" t="n">
        <f aca="false">$A4*B$3</f>
        <v>5</v>
      </c>
      <c r="C4" s="18" t="n">
        <f aca="false">$A4*C$3</f>
        <v>10</v>
      </c>
      <c r="D4" s="19" t="n">
        <f aca="false">$A4*D$3</f>
        <v>15</v>
      </c>
      <c r="E4" s="19" t="n">
        <f aca="false">$A4*E$3</f>
        <v>20</v>
      </c>
      <c r="F4" s="19" t="n">
        <f aca="false">$A4*F$3</f>
        <v>25</v>
      </c>
    </row>
    <row r="5" customFormat="false" ht="30" hidden="false" customHeight="true" outlineLevel="0" collapsed="false">
      <c r="A5" s="16" t="n">
        <v>4</v>
      </c>
      <c r="B5" s="20" t="n">
        <f aca="false">$A5*B$3</f>
        <v>4</v>
      </c>
      <c r="C5" s="17" t="n">
        <f aca="false">$A5*C$3</f>
        <v>8</v>
      </c>
      <c r="D5" s="18" t="n">
        <f aca="false">$A5*D$3</f>
        <v>12</v>
      </c>
      <c r="E5" s="19" t="n">
        <f aca="false">$A5*E$3</f>
        <v>16</v>
      </c>
      <c r="F5" s="19" t="n">
        <f aca="false">$A5*F$3</f>
        <v>20</v>
      </c>
    </row>
    <row r="6" customFormat="false" ht="30" hidden="false" customHeight="true" outlineLevel="0" collapsed="false">
      <c r="A6" s="16" t="n">
        <v>3</v>
      </c>
      <c r="B6" s="20" t="n">
        <f aca="false">$A6*B$3</f>
        <v>3</v>
      </c>
      <c r="C6" s="17" t="n">
        <f aca="false">$A6*C$3</f>
        <v>6</v>
      </c>
      <c r="D6" s="17" t="n">
        <f aca="false">$A6*D$3</f>
        <v>9</v>
      </c>
      <c r="E6" s="18" t="n">
        <f aca="false">$A6*E$3</f>
        <v>12</v>
      </c>
      <c r="F6" s="19" t="n">
        <f aca="false">$A6*F$3</f>
        <v>15</v>
      </c>
    </row>
    <row r="7" customFormat="false" ht="30" hidden="false" customHeight="true" outlineLevel="0" collapsed="false">
      <c r="A7" s="16" t="n">
        <v>2</v>
      </c>
      <c r="B7" s="20" t="n">
        <f aca="false">$A7*B$3</f>
        <v>2</v>
      </c>
      <c r="C7" s="20" t="n">
        <f aca="false">$A7*C$3</f>
        <v>4</v>
      </c>
      <c r="D7" s="17" t="n">
        <f aca="false">$A7*D$3</f>
        <v>6</v>
      </c>
      <c r="E7" s="17" t="n">
        <f aca="false">$A7*E$3</f>
        <v>8</v>
      </c>
      <c r="F7" s="18" t="n">
        <f aca="false">$A7*F$3</f>
        <v>10</v>
      </c>
    </row>
    <row r="8" customFormat="false" ht="30" hidden="false" customHeight="true" outlineLevel="0" collapsed="false">
      <c r="A8" s="16" t="n">
        <v>1</v>
      </c>
      <c r="B8" s="20" t="n">
        <f aca="false">$A8*B$3</f>
        <v>1</v>
      </c>
      <c r="C8" s="20" t="n">
        <f aca="false">$A8*C$3</f>
        <v>2</v>
      </c>
      <c r="D8" s="20" t="n">
        <f aca="false">$A8*D$3</f>
        <v>3</v>
      </c>
      <c r="E8" s="20" t="n">
        <f aca="false">$A8*E$3</f>
        <v>4</v>
      </c>
      <c r="F8" s="17" t="n">
        <f aca="false">$A8*F$3</f>
        <v>5</v>
      </c>
    </row>
    <row r="10" customFormat="false" ht="15" hidden="false" customHeight="false" outlineLevel="0" collapsed="false">
      <c r="A10" s="2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26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6" t="s">
        <v>144</v>
      </c>
      <c r="B4" s="6" t="s">
        <v>145</v>
      </c>
      <c r="C4" s="6" t="s">
        <v>146</v>
      </c>
      <c r="D4" s="6" t="s">
        <v>147</v>
      </c>
      <c r="E4" s="6" t="s">
        <v>148</v>
      </c>
      <c r="F4" s="6" t="s">
        <v>149</v>
      </c>
      <c r="G4" s="6" t="s">
        <v>150</v>
      </c>
      <c r="H4" s="6" t="s">
        <v>151</v>
      </c>
      <c r="I4" s="6" t="s">
        <v>74</v>
      </c>
      <c r="J4" s="6" t="s">
        <v>152</v>
      </c>
      <c r="K4" s="6" t="s">
        <v>153</v>
      </c>
      <c r="L4" s="6" t="s">
        <v>154</v>
      </c>
      <c r="M4" s="6" t="s">
        <v>155</v>
      </c>
      <c r="N4" s="6" t="s">
        <v>156</v>
      </c>
      <c r="O4" s="6" t="s">
        <v>157</v>
      </c>
      <c r="P4" s="6" t="s">
        <v>158</v>
      </c>
      <c r="Q4" s="6" t="s">
        <v>159</v>
      </c>
      <c r="R4" s="6" t="s">
        <v>160</v>
      </c>
      <c r="S4" s="6" t="s">
        <v>161</v>
      </c>
      <c r="T4" s="6" t="s">
        <v>162</v>
      </c>
      <c r="U4" s="6" t="s">
        <v>163</v>
      </c>
      <c r="V4" s="6" t="s">
        <v>164</v>
      </c>
    </row>
    <row r="5" customFormat="false" ht="15" hidden="false" customHeight="false" outlineLevel="0" collapsed="false">
      <c r="A5" s="9" t="s">
        <v>165</v>
      </c>
      <c r="B5" s="9" t="s">
        <v>56</v>
      </c>
      <c r="C5" s="9" t="s">
        <v>166</v>
      </c>
      <c r="D5" s="9" t="s">
        <v>167</v>
      </c>
      <c r="E5" s="9" t="s">
        <v>86</v>
      </c>
      <c r="F5" s="9" t="s">
        <v>168</v>
      </c>
      <c r="G5" s="9" t="s">
        <v>169</v>
      </c>
      <c r="H5" s="9" t="s">
        <v>170</v>
      </c>
      <c r="I5" s="9" t="s">
        <v>83</v>
      </c>
      <c r="J5" s="9" t="s">
        <v>41</v>
      </c>
      <c r="K5" s="9" t="s">
        <v>171</v>
      </c>
      <c r="L5" s="9" t="s">
        <v>172</v>
      </c>
      <c r="M5" s="9" t="n">
        <v>1</v>
      </c>
      <c r="N5" s="9" t="s">
        <v>173</v>
      </c>
      <c r="O5" s="9" t="s">
        <v>174</v>
      </c>
      <c r="P5" s="9" t="s">
        <v>175</v>
      </c>
      <c r="Q5" s="9" t="s">
        <v>56</v>
      </c>
      <c r="R5" s="9" t="s">
        <v>176</v>
      </c>
      <c r="S5" s="9" t="s">
        <v>177</v>
      </c>
      <c r="T5" s="9" t="s">
        <v>178</v>
      </c>
      <c r="U5" s="9" t="s">
        <v>24</v>
      </c>
      <c r="V5" s="9" t="s">
        <v>114</v>
      </c>
    </row>
    <row r="6" customFormat="false" ht="23.85" hidden="false" customHeight="false" outlineLevel="0" collapsed="false">
      <c r="A6" s="9" t="s">
        <v>55</v>
      </c>
      <c r="B6" s="9" t="s">
        <v>87</v>
      </c>
      <c r="C6" s="9" t="s">
        <v>179</v>
      </c>
      <c r="D6" s="9" t="s">
        <v>85</v>
      </c>
      <c r="E6" s="9" t="s">
        <v>180</v>
      </c>
      <c r="F6" s="9" t="s">
        <v>181</v>
      </c>
      <c r="G6" s="9" t="s">
        <v>182</v>
      </c>
      <c r="H6" s="9" t="s">
        <v>82</v>
      </c>
      <c r="I6" s="9" t="s">
        <v>183</v>
      </c>
      <c r="J6" s="9" t="s">
        <v>184</v>
      </c>
      <c r="K6" s="9" t="s">
        <v>40</v>
      </c>
      <c r="L6" s="9" t="s">
        <v>40</v>
      </c>
      <c r="M6" s="9" t="n">
        <v>2</v>
      </c>
      <c r="N6" s="9" t="s">
        <v>185</v>
      </c>
      <c r="O6" s="9" t="s">
        <v>186</v>
      </c>
      <c r="P6" s="9" t="s">
        <v>187</v>
      </c>
      <c r="Q6" s="9" t="s">
        <v>135</v>
      </c>
      <c r="R6" s="9" t="s">
        <v>188</v>
      </c>
      <c r="S6" s="9" t="s">
        <v>136</v>
      </c>
      <c r="T6" s="9" t="s">
        <v>137</v>
      </c>
      <c r="U6" s="9" t="s">
        <v>189</v>
      </c>
      <c r="V6" s="9" t="s">
        <v>115</v>
      </c>
    </row>
    <row r="7" customFormat="false" ht="23.85" hidden="false" customHeight="false" outlineLevel="0" collapsed="false">
      <c r="A7" s="9" t="s">
        <v>190</v>
      </c>
      <c r="B7" s="9" t="s">
        <v>191</v>
      </c>
      <c r="C7" s="9" t="s">
        <v>84</v>
      </c>
      <c r="D7" s="9" t="s">
        <v>192</v>
      </c>
      <c r="E7" s="9" t="s">
        <v>193</v>
      </c>
      <c r="F7" s="9" t="s">
        <v>194</v>
      </c>
      <c r="G7" s="9" t="s">
        <v>195</v>
      </c>
      <c r="H7" s="9" t="s">
        <v>196</v>
      </c>
      <c r="I7" s="9" t="s">
        <v>197</v>
      </c>
      <c r="J7" s="9" t="s">
        <v>198</v>
      </c>
      <c r="K7" s="9" t="s">
        <v>199</v>
      </c>
      <c r="L7" s="9" t="s">
        <v>171</v>
      </c>
      <c r="M7" s="9" t="n">
        <v>3</v>
      </c>
      <c r="N7" s="9" t="s">
        <v>200</v>
      </c>
      <c r="O7" s="9" t="s">
        <v>201</v>
      </c>
      <c r="P7" s="9" t="s">
        <v>202</v>
      </c>
      <c r="Q7" s="9" t="s">
        <v>203</v>
      </c>
      <c r="R7" s="9" t="s">
        <v>133</v>
      </c>
      <c r="S7" s="9" t="s">
        <v>204</v>
      </c>
      <c r="T7" s="9" t="s">
        <v>205</v>
      </c>
      <c r="U7" s="9" t="s">
        <v>206</v>
      </c>
      <c r="V7" s="9" t="s">
        <v>116</v>
      </c>
    </row>
    <row r="8" customFormat="false" ht="23.85" hidden="false" customHeight="false" outlineLevel="0" collapsed="false">
      <c r="B8" s="9" t="s">
        <v>207</v>
      </c>
      <c r="C8" s="9" t="s">
        <v>208</v>
      </c>
      <c r="D8" s="9" t="s">
        <v>209</v>
      </c>
      <c r="E8" s="9" t="s">
        <v>210</v>
      </c>
      <c r="F8" s="9" t="s">
        <v>211</v>
      </c>
      <c r="G8" s="9" t="s">
        <v>212</v>
      </c>
      <c r="H8" s="9" t="s">
        <v>213</v>
      </c>
      <c r="I8" s="9" t="s">
        <v>214</v>
      </c>
      <c r="J8" s="9" t="s">
        <v>215</v>
      </c>
      <c r="K8" s="9" t="s">
        <v>172</v>
      </c>
      <c r="L8" s="9" t="s">
        <v>199</v>
      </c>
      <c r="M8" s="9" t="n">
        <v>4</v>
      </c>
      <c r="N8" s="9" t="s">
        <v>216</v>
      </c>
      <c r="O8" s="9" t="s">
        <v>217</v>
      </c>
      <c r="P8" s="9" t="s">
        <v>218</v>
      </c>
      <c r="Q8" s="9" t="s">
        <v>219</v>
      </c>
      <c r="R8" s="9" t="s">
        <v>220</v>
      </c>
      <c r="V8" s="9" t="s">
        <v>117</v>
      </c>
    </row>
    <row r="9" customFormat="false" ht="23.85" hidden="false" customHeight="false" outlineLevel="0" collapsed="false">
      <c r="B9" s="9" t="s">
        <v>221</v>
      </c>
      <c r="C9" s="9" t="s">
        <v>222</v>
      </c>
      <c r="D9" s="9" t="s">
        <v>223</v>
      </c>
      <c r="E9" s="9" t="s">
        <v>224</v>
      </c>
      <c r="F9" s="9" t="s">
        <v>88</v>
      </c>
      <c r="G9" s="9" t="s">
        <v>89</v>
      </c>
      <c r="H9" s="9" t="s">
        <v>225</v>
      </c>
      <c r="I9" s="9" t="s">
        <v>226</v>
      </c>
      <c r="J9" s="9" t="s">
        <v>227</v>
      </c>
      <c r="L9" s="9" t="s">
        <v>228</v>
      </c>
      <c r="M9" s="9" t="n">
        <v>5</v>
      </c>
      <c r="N9" s="9" t="s">
        <v>229</v>
      </c>
      <c r="O9" s="9" t="s">
        <v>230</v>
      </c>
      <c r="P9" s="9" t="s">
        <v>231</v>
      </c>
      <c r="Q9" s="9" t="s">
        <v>232</v>
      </c>
      <c r="R9" s="9" t="s">
        <v>233</v>
      </c>
      <c r="V9" s="9" t="s">
        <v>118</v>
      </c>
    </row>
    <row r="10" customFormat="false" ht="23.85" hidden="false" customHeight="false" outlineLevel="0" collapsed="false">
      <c r="B10" s="9" t="s">
        <v>57</v>
      </c>
      <c r="C10" s="9" t="s">
        <v>234</v>
      </c>
      <c r="D10" s="9" t="s">
        <v>235</v>
      </c>
      <c r="E10" s="9" t="s">
        <v>236</v>
      </c>
      <c r="F10" s="9" t="s">
        <v>237</v>
      </c>
      <c r="G10" s="9" t="s">
        <v>238</v>
      </c>
      <c r="H10" s="9" t="s">
        <v>239</v>
      </c>
      <c r="I10" s="9" t="s">
        <v>240</v>
      </c>
      <c r="J10" s="9" t="s">
        <v>241</v>
      </c>
      <c r="L10" s="9" t="s">
        <v>112</v>
      </c>
      <c r="N10" s="9" t="s">
        <v>242</v>
      </c>
      <c r="O10" s="9" t="s">
        <v>113</v>
      </c>
      <c r="P10" s="9" t="s">
        <v>243</v>
      </c>
      <c r="Q10" s="9" t="s">
        <v>244</v>
      </c>
      <c r="R10" s="9" t="s">
        <v>245</v>
      </c>
      <c r="V10" s="9" t="s">
        <v>119</v>
      </c>
    </row>
    <row r="11" customFormat="false" ht="23.85" hidden="false" customHeight="false" outlineLevel="0" collapsed="false">
      <c r="B11" s="9" t="s">
        <v>246</v>
      </c>
      <c r="E11" s="9" t="s">
        <v>247</v>
      </c>
      <c r="F11" s="9" t="s">
        <v>248</v>
      </c>
      <c r="H11" s="9" t="s">
        <v>249</v>
      </c>
      <c r="I11" s="9" t="s">
        <v>250</v>
      </c>
      <c r="L11" s="9" t="s">
        <v>251</v>
      </c>
      <c r="N11" s="9" t="s">
        <v>111</v>
      </c>
      <c r="O11" s="9" t="s">
        <v>252</v>
      </c>
      <c r="P11" s="9" t="s">
        <v>134</v>
      </c>
      <c r="R11" s="9" t="s">
        <v>253</v>
      </c>
      <c r="V11" s="9" t="s">
        <v>120</v>
      </c>
    </row>
    <row r="12" customFormat="false" ht="23.85" hidden="false" customHeight="false" outlineLevel="0" collapsed="false">
      <c r="B12" s="9" t="s">
        <v>244</v>
      </c>
      <c r="H12" s="9" t="s">
        <v>254</v>
      </c>
      <c r="I12" s="9" t="s">
        <v>255</v>
      </c>
      <c r="L12" s="9" t="s">
        <v>256</v>
      </c>
      <c r="N12" s="9" t="s">
        <v>257</v>
      </c>
      <c r="O12" s="9" t="s">
        <v>258</v>
      </c>
      <c r="R12" s="9" t="s">
        <v>259</v>
      </c>
      <c r="V12" s="9" t="s">
        <v>121</v>
      </c>
    </row>
    <row r="13" customFormat="false" ht="23.85" hidden="false" customHeight="false" outlineLevel="0" collapsed="false">
      <c r="B13" s="9" t="s">
        <v>260</v>
      </c>
      <c r="H13" s="9" t="s">
        <v>261</v>
      </c>
      <c r="I13" s="9" t="s">
        <v>262</v>
      </c>
      <c r="O13" s="9" t="s">
        <v>263</v>
      </c>
      <c r="R13" s="9" t="s">
        <v>264</v>
      </c>
    </row>
    <row r="14" customFormat="false" ht="23.85" hidden="false" customHeight="false" outlineLevel="0" collapsed="false">
      <c r="B14" s="9" t="s">
        <v>265</v>
      </c>
      <c r="O14" s="9" t="s">
        <v>266</v>
      </c>
      <c r="R14" s="9" t="s">
        <v>267</v>
      </c>
    </row>
    <row r="15" customFormat="false" ht="15" hidden="false" customHeight="false" outlineLevel="0" collapsed="false">
      <c r="R15" s="9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2026-10-21T06:42:20Z</dcterms:created>
  <dc:creator>openpyxl</dc:creator>
  <dc:description/>
  <dc:language>en-US</dc:language>
  <cp:lastModifiedBy/>
  <dcterms:modified xsi:type="dcterms:W3CDTF">2026-10-21T06:42:20Z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